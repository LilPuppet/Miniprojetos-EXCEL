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vin\Downloads\"/>
    </mc:Choice>
  </mc:AlternateContent>
  <xr:revisionPtr revIDLastSave="0" documentId="13_ncr:1_{4731F30D-EABD-43B2-B2F8-F70BA038CF16}" xr6:coauthVersionLast="47" xr6:coauthVersionMax="47" xr10:uidLastSave="{00000000-0000-0000-0000-000000000000}"/>
  <bookViews>
    <workbookView xWindow="-108" yWindow="-108" windowWidth="23256" windowHeight="12456" tabRatio="345" xr2:uid="{00000000-000D-0000-FFFF-FFFF00000000}"/>
  </bookViews>
  <sheets>
    <sheet name="APP" sheetId="1" r:id="rId1"/>
    <sheet name="Planilha2" sheetId="2" r:id="rId2"/>
  </sheets>
  <definedNames>
    <definedName name="aporte">APP!$D$11</definedName>
    <definedName name="_xlnm.Print_Area" localSheetId="0">APP!$B$2:$H$35</definedName>
    <definedName name="_xlnm.Print_Area" localSheetId="1">Planilha2!$A$2:$H$25</definedName>
    <definedName name="patrimonio">APP!$D$14</definedName>
    <definedName name="qtd_anos">APP!$D$12</definedName>
    <definedName name="rendimento_carteira">APP!$D$7</definedName>
    <definedName name="salario">APP!$D$6</definedName>
    <definedName name="sugestao_investimento">APP!$D$8</definedName>
    <definedName name="taxa_mensal">APP!$D$13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0" i="2" l="1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D26" i="1"/>
  <c r="C22" i="1"/>
  <c r="D22" i="1" s="1"/>
  <c r="C21" i="1"/>
  <c r="D21" i="1" s="1"/>
  <c r="C20" i="1"/>
  <c r="D20" i="1" s="1"/>
  <c r="C19" i="1"/>
  <c r="D19" i="1" s="1"/>
  <c r="C18" i="1"/>
  <c r="D18" i="1" s="1"/>
  <c r="D14" i="1"/>
  <c r="D15" i="1" s="1"/>
  <c r="D8" i="1"/>
  <c r="C33" i="1" l="1"/>
  <c r="D33" i="1" s="1"/>
  <c r="C30" i="1"/>
  <c r="D30" i="1" s="1"/>
  <c r="H4" i="2"/>
  <c r="C29" i="1"/>
  <c r="C32" i="1"/>
  <c r="D32" i="1" s="1"/>
  <c r="C34" i="1"/>
  <c r="D34" i="1" s="1"/>
  <c r="C31" i="1"/>
  <c r="D31" i="1" s="1"/>
  <c r="C35" i="1" l="1"/>
  <c r="D29" i="1"/>
  <c r="D3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7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Taxa de rendimento mensal usada para estimar os dividendos. É uma hipótese de simulação, não uma promessa de retorno.</t>
        </r>
      </text>
    </comment>
    <comment ref="D13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Taxa mensal assumida para a projeção do patrimônio. Ajuste para testar cenários hipotéticos.</t>
        </r>
      </text>
    </comment>
    <comment ref="D25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Selecione um perfil para consultar a distribuição ilustrativa dos aportes entre os tipos de FII.</t>
        </r>
      </text>
    </comment>
  </commentList>
</comments>
</file>

<file path=xl/sharedStrings.xml><?xml version="1.0" encoding="utf-8"?>
<sst xmlns="http://schemas.openxmlformats.org/spreadsheetml/2006/main" count="77" uniqueCount="40">
  <si>
    <t>SIMULADOR DE INVESTIMENTOS EM FIIs</t>
  </si>
  <si>
    <t>Planeje aportes, estime o patrimônio futuro e visualize uma divisão ilustrativa por perfil.</t>
  </si>
  <si>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</si>
  <si>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</si>
  <si>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</si>
  <si>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</si>
  <si>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</si>
  <si>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</si>
  <si>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</si>
  <si>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</si>
  <si>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</si>
  <si>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</si>
  <si>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</si>
  <si>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</si>
  <si>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</si>
  <si>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</si>
  <si>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</si>
  <si>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</si>
  <si>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</si>
  <si>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</si>
  <si>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</si>
  <si>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</si>
  <si>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</si>
  <si>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</si>
  <si>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</si>
  <si>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</si>
  <si>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</si>
  <si>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</si>
  <si>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</si>
  <si>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</si>
  <si>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</si>
  <si>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TOTAL DO APORTE</t>
  </si>
  <si>
    <t>CHAVE</t>
  </si>
  <si>
    <t>%</t>
  </si>
  <si>
    <t>EXEMPLO DE BUSCA</t>
  </si>
  <si>
    <t>Conservador</t>
  </si>
  <si>
    <t>Moderado-TIJOLO</t>
  </si>
  <si>
    <t>Agressivo</t>
  </si>
  <si>
    <t>Observação:</t>
  </si>
  <si>
    <t>Percentuais ilustrativos para fins educacionais; não são recomendação de investimento.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</si>
</sst>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8"/>
      <color rgb="FFFFFFFF"/>
      <name val="Aptos Display"/>
      <family val="2"/>
    </font>
    <font>
      <i/>
      <sz val="11"/>
      <color rgb="FF1F4E78"/>
      <name val="Aptos"/>
      <family val="2"/>
    </font>
    <font>
      <b/>
      <sz val="11"/>
      <color rgb="FFFFFFFF"/>
      <name val="Aptos Narrow"/>
      <family val="2"/>
    </font>
    <font>
      <b/>
      <sz val="11"/>
      <color rgb="FF1F2937"/>
      <name val="Aptos Narrow"/>
      <family val="2"/>
    </font>
    <font>
      <sz val="11"/>
      <color rgb="FF1F2937"/>
      <name val="Aptos Narrow"/>
      <family val="2"/>
    </font>
    <font>
      <b/>
      <sz val="12"/>
      <color rgb="FF1F2937"/>
      <name val="Aptos Narrow"/>
      <family val="2"/>
    </font>
    <font>
      <b/>
      <sz val="11"/>
      <color rgb="FFFFFFFF"/>
      <name val="Aptos Narrow"/>
      <family val="2"/>
    </font>
    <font>
      <b/>
      <sz val="11"/>
      <name val="Aptos Narrow"/>
      <family val="2"/>
    </font>
    <font>
      <i/>
      <sz val="11"/>
      <color rgb="FF666666"/>
      <name val="Aptos Narrow"/>
      <family val="2"/>
    </font>
    <font>
      <b/>
      <sz val="11"/>
      <color rgb="FF17365D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3F6F9"/>
      </patternFill>
    </fill>
    <fill>
      <patternFill patternType="solid">
        <fgColor rgb="FFFFFFFF"/>
      </patternFill>
    </fill>
    <fill>
      <patternFill patternType="solid">
        <fgColor rgb="FF0F6B78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E2F3"/>
      </bottom>
      <diagonal/>
    </border>
    <border>
      <left/>
      <right/>
      <top style="medium">
        <color rgb="FF1F4E78"/>
      </top>
      <bottom style="medium">
        <color rgb="FF1F4E78"/>
      </bottom>
      <diagonal/>
    </border>
  </borders>
  <cellStyleXfs count="4">
    <xf numFmtId="0" fontId="0" fillId="0" borderId="0"/>
    <xf numFmtId="44" fontId="1" fillId="0" borderId="0"/>
    <xf numFmtId="9" fontId="1" fillId="0" borderId="0"/>
    <xf numFmtId="0" fontId="2" fillId="2" borderId="0"/>
  </cellStyleXfs>
  <cellXfs count="63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0" fontId="2" fillId="2" borderId="0" xfId="3" applyAlignment="1">
      <alignment horizontal="center"/>
    </xf>
    <xf numFmtId="0" fontId="9" fillId="7" borderId="1" xfId="0" applyFont="1" applyFill="1" applyBorder="1" applyAlignment="1">
      <alignment vertical="center"/>
    </xf>
    <xf numFmtId="0" fontId="9" fillId="7" borderId="3" xfId="0" applyFont="1" applyFill="1" applyBorder="1" applyAlignment="1">
      <alignment vertical="center"/>
    </xf>
    <xf numFmtId="0" fontId="9" fillId="7" borderId="2" xfId="0" applyFont="1" applyFill="1" applyBorder="1" applyAlignment="1">
      <alignment vertical="center"/>
    </xf>
    <xf numFmtId="164" fontId="10" fillId="8" borderId="11" xfId="1" applyNumberFormat="1" applyFont="1" applyFill="1" applyBorder="1" applyAlignment="1">
      <alignment horizontal="center" vertical="center"/>
    </xf>
    <xf numFmtId="10" fontId="10" fillId="8" borderId="11" xfId="0" applyNumberFormat="1" applyFont="1" applyFill="1" applyBorder="1" applyAlignment="1">
      <alignment horizontal="center" vertical="center"/>
    </xf>
    <xf numFmtId="164" fontId="11" fillId="9" borderId="12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164" fontId="10" fillId="8" borderId="11" xfId="0" applyNumberFormat="1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164" fontId="12" fillId="10" borderId="13" xfId="0" applyNumberFormat="1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vertical="center"/>
    </xf>
    <xf numFmtId="164" fontId="6" fillId="11" borderId="12" xfId="0" applyNumberFormat="1" applyFont="1" applyFill="1" applyBorder="1" applyAlignment="1">
      <alignment vertical="center"/>
    </xf>
    <xf numFmtId="0" fontId="5" fillId="12" borderId="12" xfId="0" applyFont="1" applyFill="1" applyBorder="1" applyAlignment="1">
      <alignment vertical="center"/>
    </xf>
    <xf numFmtId="164" fontId="6" fillId="12" borderId="12" xfId="0" applyNumberFormat="1" applyFont="1" applyFill="1" applyBorder="1" applyAlignment="1">
      <alignment vertical="center"/>
    </xf>
    <xf numFmtId="164" fontId="11" fillId="9" borderId="12" xfId="1" applyNumberFormat="1" applyFont="1" applyFill="1" applyBorder="1" applyAlignment="1">
      <alignment horizontal="center" vertical="center"/>
    </xf>
    <xf numFmtId="0" fontId="13" fillId="13" borderId="0" xfId="0" applyFont="1" applyFill="1" applyAlignment="1">
      <alignment vertical="center"/>
    </xf>
    <xf numFmtId="0" fontId="0" fillId="11" borderId="12" xfId="0" applyFill="1" applyBorder="1" applyAlignment="1">
      <alignment vertical="center"/>
    </xf>
    <xf numFmtId="9" fontId="11" fillId="11" borderId="12" xfId="0" applyNumberFormat="1" applyFont="1" applyFill="1" applyBorder="1" applyAlignment="1">
      <alignment vertical="center"/>
    </xf>
    <xf numFmtId="164" fontId="11" fillId="11" borderId="12" xfId="0" applyNumberFormat="1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9" fontId="11" fillId="9" borderId="12" xfId="0" applyNumberFormat="1" applyFont="1" applyFill="1" applyBorder="1" applyAlignment="1">
      <alignment vertical="center"/>
    </xf>
    <xf numFmtId="164" fontId="11" fillId="9" borderId="12" xfId="0" applyNumberFormat="1" applyFont="1" applyFill="1" applyBorder="1" applyAlignment="1">
      <alignment vertical="center"/>
    </xf>
    <xf numFmtId="0" fontId="10" fillId="10" borderId="12" xfId="0" applyFont="1" applyFill="1" applyBorder="1" applyAlignment="1">
      <alignment vertical="center"/>
    </xf>
    <xf numFmtId="9" fontId="14" fillId="10" borderId="12" xfId="0" applyNumberFormat="1" applyFont="1" applyFill="1" applyBorder="1" applyAlignment="1">
      <alignment vertical="center"/>
    </xf>
    <xf numFmtId="164" fontId="10" fillId="10" borderId="12" xfId="0" applyNumberFormat="1" applyFont="1" applyFill="1" applyBorder="1" applyAlignment="1">
      <alignment vertical="center"/>
    </xf>
    <xf numFmtId="0" fontId="13" fillId="5" borderId="0" xfId="0" applyFont="1" applyFill="1" applyAlignment="1">
      <alignment horizontal="center" vertical="center" wrapText="1"/>
    </xf>
    <xf numFmtId="0" fontId="15" fillId="12" borderId="12" xfId="0" applyFont="1" applyFill="1" applyBorder="1" applyAlignment="1">
      <alignment vertical="center"/>
    </xf>
    <xf numFmtId="0" fontId="0" fillId="12" borderId="12" xfId="0" applyFill="1" applyBorder="1" applyAlignment="1">
      <alignment vertical="center"/>
    </xf>
    <xf numFmtId="9" fontId="0" fillId="12" borderId="12" xfId="0" applyNumberFormat="1" applyFill="1" applyBorder="1" applyAlignment="1">
      <alignment vertical="center"/>
    </xf>
    <xf numFmtId="0" fontId="15" fillId="11" borderId="12" xfId="0" applyFont="1" applyFill="1" applyBorder="1" applyAlignment="1">
      <alignment vertical="center"/>
    </xf>
    <xf numFmtId="9" fontId="0" fillId="11" borderId="12" xfId="0" applyNumberFormat="1" applyFill="1" applyBorder="1" applyAlignment="1">
      <alignment vertical="center"/>
    </xf>
    <xf numFmtId="0" fontId="2" fillId="6" borderId="0" xfId="3" applyFill="1"/>
    <xf numFmtId="9" fontId="2" fillId="9" borderId="0" xfId="2" applyFont="1" applyFill="1"/>
    <xf numFmtId="0" fontId="16" fillId="0" borderId="0" xfId="0" applyFont="1"/>
    <xf numFmtId="0" fontId="11" fillId="4" borderId="5" xfId="0" applyFont="1" applyFill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7" fillId="5" borderId="0" xfId="0" applyFont="1" applyFill="1" applyAlignment="1">
      <alignment horizontal="center" vertical="center" wrapText="1"/>
    </xf>
    <xf numFmtId="0" fontId="10" fillId="3" borderId="6" xfId="0" applyFont="1" applyFill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/>
    </xf>
    <xf numFmtId="0" fontId="9" fillId="7" borderId="3" xfId="0" applyFont="1" applyFill="1" applyBorder="1" applyAlignment="1">
      <alignment vertical="center"/>
    </xf>
    <xf numFmtId="0" fontId="8" fillId="6" borderId="0" xfId="0" applyFont="1" applyFill="1" applyAlignment="1">
      <alignment horizontal="center" vertical="center" wrapText="1"/>
    </xf>
    <xf numFmtId="0" fontId="11" fillId="4" borderId="6" xfId="0" applyFont="1" applyFill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1" fillId="7" borderId="10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vertical="center" wrapText="1"/>
    </xf>
    <xf numFmtId="0" fontId="9" fillId="7" borderId="2" xfId="0" applyFont="1" applyFill="1" applyBorder="1" applyAlignment="1">
      <alignment vertical="center"/>
    </xf>
    <xf numFmtId="0" fontId="11" fillId="4" borderId="4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/>
    <xf numFmtId="0" fontId="2" fillId="2" borderId="0" xfId="3" applyAlignment="1">
      <alignment horizontal="center"/>
    </xf>
    <xf numFmtId="0" fontId="3" fillId="4" borderId="0" xfId="0" applyFont="1" applyFill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/>
              <a:t>Divisão do aporte por tipo de FII</a:t>
            </a:r>
          </a:p>
        </c:rich>
      </c:tx>
      <c:layout>
        <c:manualLayout>
          <c:xMode val="edge"/>
          <c:yMode val="edge"/>
          <c:x val="1.7137881212990782E-2"/>
          <c:y val="6.8414609165950418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APP!$D$28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D34-4CE2-AE5A-F18B339876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D34-4CE2-AE5A-F18B339876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D34-4CE2-AE5A-F18B3398765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D34-4CE2-AE5A-F18B3398765A}"/>
              </c:ext>
            </c:extLst>
          </c:dPt>
          <c:dLbls>
            <c:dLbl>
              <c:idx val="0"/>
              <c:layout>
                <c:manualLayout>
                  <c:x val="-0.15656140911861061"/>
                  <c:y val="0.1080820447055246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34-4CE2-AE5A-F18B3398765A}"/>
                </c:ext>
              </c:extLst>
            </c:dLbl>
            <c:dLbl>
              <c:idx val="1"/>
              <c:layout>
                <c:manualLayout>
                  <c:x val="-1.6007656560376681E-2"/>
                  <c:y val="-0.1536108600183935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34-4CE2-AE5A-F18B3398765A}"/>
                </c:ext>
              </c:extLst>
            </c:dLbl>
            <c:dLbl>
              <c:idx val="4"/>
              <c:layout>
                <c:manualLayout>
                  <c:x val="0.11144740731213905"/>
                  <c:y val="8.707717492734390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D34-4CE2-AE5A-F18B3398765A}"/>
                </c:ext>
              </c:extLst>
            </c:dLbl>
            <c:dLbl>
              <c:idx val="5"/>
              <c:layout>
                <c:manualLayout>
                  <c:x val="7.1614473483156804E-2"/>
                  <c:y val="0.1102838554391553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D34-4CE2-AE5A-F18B339876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 w="0">
                      <a:noFill/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APP!$B$29:$B$34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APP!$D$29:$D$34</c:f>
              <c:numCache>
                <c:formatCode>"R$"\ #,##0.00</c:formatCode>
                <c:ptCount val="6"/>
                <c:pt idx="0">
                  <c:v>240</c:v>
                </c:pt>
                <c:pt idx="1">
                  <c:v>262.5</c:v>
                </c:pt>
                <c:pt idx="2">
                  <c:v>60</c:v>
                </c:pt>
                <c:pt idx="3">
                  <c:v>37.5</c:v>
                </c:pt>
                <c:pt idx="4">
                  <c:v>75</c:v>
                </c:pt>
                <c:pt idx="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4-4CE2-AE5A-F18B3398765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152401</xdr:colOff>
      <xdr:row>0</xdr:row>
      <xdr:rowOff>100569</xdr:rowOff>
    </xdr:from>
    <xdr:to>
      <xdr:col>7</xdr:col>
      <xdr:colOff>387928</xdr:colOff>
      <xdr:row>0</xdr:row>
      <xdr:rowOff>2145147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b="9606"/>
        <a:stretch>
          <a:fillRect/>
        </a:stretch>
      </xdr:blipFill>
      <xdr:spPr>
        <a:xfrm>
          <a:off x="152401" y="100569"/>
          <a:ext cx="7751618" cy="2044578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242455</xdr:colOff>
      <xdr:row>35</xdr:row>
      <xdr:rowOff>95248</xdr:rowOff>
    </xdr:from>
    <xdr:ext cx="6780068" cy="355888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6B78"/>
    <pageSetUpPr fitToPage="1"/>
  </sheetPr>
  <dimension ref="A1:H35"/>
  <sheetViews>
    <sheetView showGridLines="0" tabSelected="1" zoomScale="88" zoomScaleNormal="88" workbookViewId="0">
      <selection activeCell="E23" sqref="E23"/>
    </sheetView>
  </sheetViews>
  <sheetFormatPr defaultColWidth="0" defaultRowHeight="14.4" x14ac:dyDescent="0.3"/>
  <cols>
    <col min="1" max="1" width="10.88671875" customWidth="1"/>
    <col min="2" max="2" width="34" customWidth="1"/>
    <col min="3" max="3" width="23" bestFit="1" customWidth="1"/>
    <col min="4" max="4" width="29.44140625" customWidth="1"/>
    <col min="5" max="7" width="4" customWidth="1"/>
    <col min="8" max="8" width="8.109375" customWidth="1"/>
    <col min="9" max="9" width="8.77734375" hidden="1" customWidth="1"/>
    <col min="10" max="16384" width="8.77734375" hidden="1"/>
  </cols>
  <sheetData>
    <row r="1" spans="2:6" ht="179.4" customHeight="1" x14ac:dyDescent="0.3"/>
    <row r="2" spans="2:6" ht="16.8" customHeight="1" x14ac:dyDescent="0.3">
      <c r="B2" s="41" t="s">
        <v>0</v>
      </c>
      <c r="C2" s="41"/>
      <c r="D2" s="41"/>
    </row>
    <row r="3" spans="2:6" ht="13.8" customHeight="1" x14ac:dyDescent="0.3">
      <c r="B3" s="49" t="s">
        <v>1</v>
      </c>
      <c r="C3" s="49"/>
      <c r="D3" s="49"/>
    </row>
    <row r="4" spans="2:6" ht="15" thickBot="1" x14ac:dyDescent="0.35"/>
    <row r="5" spans="2:6" ht="22.95" customHeight="1" x14ac:dyDescent="0.3">
      <c r="B5" s="5" t="s">
        <v>2</v>
      </c>
      <c r="C5" s="6"/>
      <c r="D5" s="7"/>
    </row>
    <row r="6" spans="2:6" ht="17.55" customHeight="1" x14ac:dyDescent="0.3">
      <c r="B6" s="57" t="s">
        <v>3</v>
      </c>
      <c r="C6" s="58"/>
      <c r="D6" s="8">
        <v>2000</v>
      </c>
    </row>
    <row r="7" spans="2:6" ht="17.55" customHeight="1" x14ac:dyDescent="0.3">
      <c r="B7" s="39" t="s">
        <v>4</v>
      </c>
      <c r="C7" s="40"/>
      <c r="D7" s="9">
        <v>6.0000000000000001E-3</v>
      </c>
    </row>
    <row r="8" spans="2:6" ht="18" customHeight="1" thickBot="1" x14ac:dyDescent="0.35">
      <c r="B8" s="50" t="s">
        <v>5</v>
      </c>
      <c r="C8" s="51"/>
      <c r="D8" s="10">
        <f>D6*30%</f>
        <v>600</v>
      </c>
    </row>
    <row r="9" spans="2:6" ht="15" customHeight="1" thickBot="1" x14ac:dyDescent="0.35">
      <c r="B9" s="11"/>
      <c r="C9" s="11"/>
    </row>
    <row r="10" spans="2:6" ht="22.95" customHeight="1" x14ac:dyDescent="0.3">
      <c r="B10" s="54" t="s">
        <v>6</v>
      </c>
      <c r="C10" s="55"/>
      <c r="D10" s="56"/>
    </row>
    <row r="11" spans="2:6" ht="17.55" customHeight="1" x14ac:dyDescent="0.3">
      <c r="B11" s="52" t="s">
        <v>7</v>
      </c>
      <c r="C11" s="53"/>
      <c r="D11" s="12">
        <v>750</v>
      </c>
    </row>
    <row r="12" spans="2:6" ht="17.55" customHeight="1" x14ac:dyDescent="0.3">
      <c r="B12" s="44" t="s">
        <v>8</v>
      </c>
      <c r="C12" s="45"/>
      <c r="D12" s="13">
        <v>5</v>
      </c>
    </row>
    <row r="13" spans="2:6" ht="17.55" customHeight="1" x14ac:dyDescent="0.3">
      <c r="B13" s="44" t="s">
        <v>9</v>
      </c>
      <c r="C13" s="45"/>
      <c r="D13" s="9">
        <v>1.0789999999999999E-2</v>
      </c>
    </row>
    <row r="14" spans="2:6" ht="17.55" customHeight="1" x14ac:dyDescent="0.3">
      <c r="B14" s="46" t="s">
        <v>10</v>
      </c>
      <c r="C14" s="45"/>
      <c r="D14" s="14">
        <f>FV(taxa_mensal,qtd_anos*12,aporte*-1)</f>
        <v>62832.685498865736</v>
      </c>
    </row>
    <row r="15" spans="2:6" ht="18" customHeight="1" thickBot="1" x14ac:dyDescent="0.35">
      <c r="B15" s="42" t="s">
        <v>11</v>
      </c>
      <c r="C15" s="43"/>
      <c r="D15" s="14">
        <f>patrimonio*rendimento_carteira</f>
        <v>376.9961129931944</v>
      </c>
      <c r="F15" s="3"/>
    </row>
    <row r="16" spans="2:6" ht="15" customHeight="1" thickBot="1" x14ac:dyDescent="0.35"/>
    <row r="17" spans="1:4" ht="22.95" customHeight="1" x14ac:dyDescent="0.3">
      <c r="B17" s="47" t="s">
        <v>12</v>
      </c>
      <c r="C17" s="48"/>
      <c r="D17" s="7" t="s">
        <v>13</v>
      </c>
    </row>
    <row r="18" spans="1:4" ht="22.05" customHeight="1" x14ac:dyDescent="0.3">
      <c r="A18" s="1">
        <v>2</v>
      </c>
      <c r="B18" s="15" t="s">
        <v>14</v>
      </c>
      <c r="C18" s="16">
        <f>FV($D$13,$A18*12,$D$11*-1)</f>
        <v>20420.720473233912</v>
      </c>
      <c r="D18" s="16">
        <f>C18*rendimento_carteira</f>
        <v>122.52432283940348</v>
      </c>
    </row>
    <row r="19" spans="1:4" ht="22.05" customHeight="1" x14ac:dyDescent="0.3">
      <c r="A19" s="1">
        <v>5</v>
      </c>
      <c r="B19" s="17" t="s">
        <v>15</v>
      </c>
      <c r="C19" s="18">
        <f>FV($D$13,$A19*12,$D$11*-1)</f>
        <v>62832.685498865736</v>
      </c>
      <c r="D19" s="18">
        <f>C19*rendimento_carteira</f>
        <v>376.9961129931944</v>
      </c>
    </row>
    <row r="20" spans="1:4" ht="22.05" customHeight="1" x14ac:dyDescent="0.3">
      <c r="A20" s="1">
        <v>10</v>
      </c>
      <c r="B20" s="15" t="s">
        <v>16</v>
      </c>
      <c r="C20" s="16">
        <f>FV($D$13,$A20*12,$D$11*-1)</f>
        <v>182463.15939762915</v>
      </c>
      <c r="D20" s="16">
        <f>C20*rendimento_carteira</f>
        <v>1094.778956385775</v>
      </c>
    </row>
    <row r="21" spans="1:4" ht="22.05" customHeight="1" x14ac:dyDescent="0.3">
      <c r="A21" s="1">
        <v>20</v>
      </c>
      <c r="B21" s="17" t="s">
        <v>17</v>
      </c>
      <c r="C21" s="18">
        <f>FV($D$13,$A21*12,$D$11*-1)</f>
        <v>843898.8000728105</v>
      </c>
      <c r="D21" s="18">
        <f>C21*rendimento_carteira</f>
        <v>5063.3928004368627</v>
      </c>
    </row>
    <row r="22" spans="1:4" ht="22.05" customHeight="1" thickBot="1" x14ac:dyDescent="0.35">
      <c r="A22" s="1">
        <v>30</v>
      </c>
      <c r="B22" s="15" t="s">
        <v>18</v>
      </c>
      <c r="C22" s="16">
        <f>FV($D$13,$A22*12,$D$11*-1)</f>
        <v>3241627.2412535357</v>
      </c>
      <c r="D22" s="16">
        <f>C22*rendimento_carteira</f>
        <v>19449.763447521214</v>
      </c>
    </row>
    <row r="25" spans="1:4" x14ac:dyDescent="0.3">
      <c r="B25" s="61" t="s">
        <v>19</v>
      </c>
      <c r="C25" s="61"/>
      <c r="D25" s="4" t="s">
        <v>20</v>
      </c>
    </row>
    <row r="26" spans="1:4" x14ac:dyDescent="0.3">
      <c r="B26" s="62" t="s">
        <v>21</v>
      </c>
      <c r="C26" s="62"/>
      <c r="D26" s="19">
        <f>aporte</f>
        <v>750</v>
      </c>
    </row>
    <row r="28" spans="1:4" ht="22.95" customHeight="1" x14ac:dyDescent="0.3">
      <c r="B28" s="20" t="s">
        <v>22</v>
      </c>
      <c r="C28" s="20" t="s">
        <v>23</v>
      </c>
      <c r="D28" s="20" t="s">
        <v>24</v>
      </c>
    </row>
    <row r="29" spans="1:4" x14ac:dyDescent="0.3">
      <c r="B29" s="21" t="s">
        <v>25</v>
      </c>
      <c r="C29" s="22">
        <f>VLOOKUP($D$25&amp;"-"&amp;B29,Planilha2!$A:$D,4,FALSE)</f>
        <v>0.32</v>
      </c>
      <c r="D29" s="23">
        <f>C29*$D$26</f>
        <v>240</v>
      </c>
    </row>
    <row r="30" spans="1:4" x14ac:dyDescent="0.3">
      <c r="B30" s="24" t="s">
        <v>26</v>
      </c>
      <c r="C30" s="25">
        <f>VLOOKUP($D$25&amp;"-"&amp;B30,Planilha2!$A:$D,4,FALSE)</f>
        <v>0.35</v>
      </c>
      <c r="D30" s="26">
        <f>C30*$D$26</f>
        <v>262.5</v>
      </c>
    </row>
    <row r="31" spans="1:4" x14ac:dyDescent="0.3">
      <c r="B31" s="21" t="s">
        <v>27</v>
      </c>
      <c r="C31" s="22">
        <f>VLOOKUP($D$25&amp;"-"&amp;B31,Planilha2!$A:$D,4,FALSE)</f>
        <v>0.08</v>
      </c>
      <c r="D31" s="23">
        <f>C31*$D$26</f>
        <v>60</v>
      </c>
    </row>
    <row r="32" spans="1:4" x14ac:dyDescent="0.3">
      <c r="B32" s="24" t="s">
        <v>28</v>
      </c>
      <c r="C32" s="25">
        <f>VLOOKUP($D$25&amp;"-"&amp;B32,Planilha2!$A:$D,4,FALSE)</f>
        <v>0.05</v>
      </c>
      <c r="D32" s="26">
        <f>C32*$D$26</f>
        <v>37.5</v>
      </c>
    </row>
    <row r="33" spans="2:4" x14ac:dyDescent="0.3">
      <c r="B33" s="21" t="s">
        <v>29</v>
      </c>
      <c r="C33" s="22">
        <f>VLOOKUP($D$25&amp;"-"&amp;B33,Planilha2!$A:$D,4,FALSE)</f>
        <v>0.1</v>
      </c>
      <c r="D33" s="23">
        <f>C33*$D$26</f>
        <v>75</v>
      </c>
    </row>
    <row r="34" spans="2:4" x14ac:dyDescent="0.3">
      <c r="B34" s="24" t="s">
        <v>30</v>
      </c>
      <c r="C34" s="25">
        <f>VLOOKUP($D$25&amp;"-"&amp;B34,Planilha2!$A:$D,4,FALSE)</f>
        <v>0.1</v>
      </c>
      <c r="D34" s="26">
        <f>C34*$D$26</f>
        <v>75</v>
      </c>
    </row>
    <row r="35" spans="2:4" x14ac:dyDescent="0.3">
      <c r="B35" s="27" t="s">
        <v>31</v>
      </c>
      <c r="C35" s="28">
        <f>SUM(C29:C34)</f>
        <v>0.99999999999999989</v>
      </c>
      <c r="D35" s="29">
        <f>SUM(D29:D34)</f>
        <v>750</v>
      </c>
    </row>
  </sheetData>
  <mergeCells count="14">
    <mergeCell ref="B25:C25"/>
    <mergeCell ref="B26:C26"/>
    <mergeCell ref="B17:C17"/>
    <mergeCell ref="B8:C8"/>
    <mergeCell ref="B11:C11"/>
    <mergeCell ref="B12:C12"/>
    <mergeCell ref="B10:D10"/>
    <mergeCell ref="B6:C6"/>
    <mergeCell ref="B7:C7"/>
    <mergeCell ref="B15:C15"/>
    <mergeCell ref="B13:C13"/>
    <mergeCell ref="B14:C14"/>
    <mergeCell ref="B2:D2"/>
    <mergeCell ref="B3:D3"/>
  </mergeCells>
  <dataValidations count="1">
    <dataValidation type="list" errorTitle="Perfil inválido" error="Selecione um dos perfis disponíveis." promptTitle="Perfil de investidor" prompt="Escolha o perfil para atualizar a divisão do aporte." sqref="D25" xr:uid="{00000000-0002-0000-0000-000000000000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2:H25"/>
  <sheetViews>
    <sheetView showGridLines="0" zoomScale="115" zoomScaleNormal="115" workbookViewId="0">
      <pane ySplit="2" topLeftCell="A3" activePane="bottomLeft" state="frozen"/>
      <selection pane="bottomLeft" activeCell="C7" sqref="C7"/>
    </sheetView>
  </sheetViews>
  <sheetFormatPr defaultRowHeight="14.4" x14ac:dyDescent="0.3"/>
  <cols>
    <col min="1" max="1" width="28" bestFit="1" customWidth="1"/>
    <col min="2" max="2" width="20" bestFit="1" customWidth="1"/>
    <col min="3" max="3" width="24" bestFit="1" customWidth="1"/>
    <col min="4" max="4" width="14" customWidth="1"/>
    <col min="5" max="5" width="4" customWidth="1"/>
    <col min="6" max="6" width="18" customWidth="1"/>
    <col min="7" max="7" width="28" bestFit="1" customWidth="1"/>
    <col min="8" max="8" width="18" customWidth="1"/>
  </cols>
  <sheetData>
    <row r="2" spans="1:8" ht="28.05" customHeight="1" x14ac:dyDescent="0.3">
      <c r="A2" s="30" t="s">
        <v>32</v>
      </c>
      <c r="B2" s="30" t="s">
        <v>19</v>
      </c>
      <c r="C2" s="30" t="s">
        <v>22</v>
      </c>
      <c r="D2" s="30" t="s">
        <v>33</v>
      </c>
      <c r="E2" s="30"/>
      <c r="F2" s="30"/>
      <c r="G2" s="30" t="s">
        <v>34</v>
      </c>
      <c r="H2" s="30"/>
    </row>
    <row r="3" spans="1:8" x14ac:dyDescent="0.3">
      <c r="A3" s="31" t="str">
        <f t="shared" ref="A3:A20" si="0">B3&amp;"-"&amp;C3</f>
        <v>Conservador-PAPEL</v>
      </c>
      <c r="B3" s="32" t="s">
        <v>35</v>
      </c>
      <c r="C3" s="32" t="s">
        <v>25</v>
      </c>
      <c r="D3" s="33">
        <v>0.3</v>
      </c>
      <c r="H3" t="s">
        <v>33</v>
      </c>
    </row>
    <row r="4" spans="1:8" x14ac:dyDescent="0.3">
      <c r="A4" s="34" t="str">
        <f t="shared" si="0"/>
        <v>Conservador-TIJOLO</v>
      </c>
      <c r="B4" s="21" t="s">
        <v>35</v>
      </c>
      <c r="C4" s="21" t="s">
        <v>26</v>
      </c>
      <c r="D4" s="35">
        <v>0.5</v>
      </c>
      <c r="G4" s="36" t="s">
        <v>36</v>
      </c>
      <c r="H4" s="37">
        <f>VLOOKUP(G4,$A:$D,4,FALSE)</f>
        <v>0.35</v>
      </c>
    </row>
    <row r="5" spans="1:8" x14ac:dyDescent="0.3">
      <c r="A5" s="31" t="str">
        <f t="shared" si="0"/>
        <v>Conservador-HÍBRIDOS</v>
      </c>
      <c r="B5" s="32" t="s">
        <v>35</v>
      </c>
      <c r="C5" s="32" t="s">
        <v>27</v>
      </c>
      <c r="D5" s="33">
        <v>0.1</v>
      </c>
    </row>
    <row r="6" spans="1:8" x14ac:dyDescent="0.3">
      <c r="A6" s="34" t="str">
        <f t="shared" si="0"/>
        <v>Conservador-FOFs</v>
      </c>
      <c r="B6" s="21" t="s">
        <v>35</v>
      </c>
      <c r="C6" s="21" t="s">
        <v>28</v>
      </c>
      <c r="D6" s="35">
        <v>0.1</v>
      </c>
    </row>
    <row r="7" spans="1:8" x14ac:dyDescent="0.3">
      <c r="A7" s="31" t="str">
        <f t="shared" si="0"/>
        <v>Conservador-DESENVOLVIMENTO</v>
      </c>
      <c r="B7" s="32" t="s">
        <v>35</v>
      </c>
      <c r="C7" s="32" t="s">
        <v>29</v>
      </c>
      <c r="D7" s="33">
        <v>0</v>
      </c>
    </row>
    <row r="8" spans="1:8" ht="15" customHeight="1" thickBot="1" x14ac:dyDescent="0.35">
      <c r="A8" s="34" t="str">
        <f t="shared" si="0"/>
        <v>Conservador-HOTELARIAS</v>
      </c>
      <c r="B8" s="21" t="s">
        <v>35</v>
      </c>
      <c r="C8" s="21" t="s">
        <v>30</v>
      </c>
      <c r="D8" s="35">
        <v>0</v>
      </c>
    </row>
    <row r="9" spans="1:8" x14ac:dyDescent="0.3">
      <c r="A9" s="31" t="str">
        <f t="shared" si="0"/>
        <v>Moderado-PAPEL</v>
      </c>
      <c r="B9" s="32" t="s">
        <v>20</v>
      </c>
      <c r="C9" s="32" t="s">
        <v>25</v>
      </c>
      <c r="D9" s="33">
        <v>0.32</v>
      </c>
    </row>
    <row r="10" spans="1:8" x14ac:dyDescent="0.3">
      <c r="A10" s="34" t="str">
        <f t="shared" si="0"/>
        <v>Moderado-TIJOLO</v>
      </c>
      <c r="B10" s="21" t="s">
        <v>20</v>
      </c>
      <c r="C10" s="21" t="s">
        <v>26</v>
      </c>
      <c r="D10" s="35">
        <v>0.35</v>
      </c>
    </row>
    <row r="11" spans="1:8" x14ac:dyDescent="0.3">
      <c r="A11" s="31" t="str">
        <f t="shared" si="0"/>
        <v>Moderado-HÍBRIDOS</v>
      </c>
      <c r="B11" s="32" t="s">
        <v>20</v>
      </c>
      <c r="C11" s="32" t="s">
        <v>27</v>
      </c>
      <c r="D11" s="33">
        <v>0.08</v>
      </c>
    </row>
    <row r="12" spans="1:8" x14ac:dyDescent="0.3">
      <c r="A12" s="34" t="str">
        <f t="shared" si="0"/>
        <v>Moderado-FOFs</v>
      </c>
      <c r="B12" s="21" t="s">
        <v>20</v>
      </c>
      <c r="C12" s="21" t="s">
        <v>28</v>
      </c>
      <c r="D12" s="35">
        <v>0.05</v>
      </c>
    </row>
    <row r="13" spans="1:8" x14ac:dyDescent="0.3">
      <c r="A13" s="31" t="str">
        <f t="shared" si="0"/>
        <v>Moderado-DESENVOLVIMENTO</v>
      </c>
      <c r="B13" s="32" t="s">
        <v>20</v>
      </c>
      <c r="C13" s="32" t="s">
        <v>29</v>
      </c>
      <c r="D13" s="33">
        <v>0.1</v>
      </c>
    </row>
    <row r="14" spans="1:8" ht="15" customHeight="1" thickBot="1" x14ac:dyDescent="0.35">
      <c r="A14" s="34" t="str">
        <f t="shared" si="0"/>
        <v>Moderado-HOTELARIAS</v>
      </c>
      <c r="B14" s="21" t="s">
        <v>20</v>
      </c>
      <c r="C14" s="21" t="s">
        <v>30</v>
      </c>
      <c r="D14" s="35">
        <v>0.1</v>
      </c>
    </row>
    <row r="15" spans="1:8" x14ac:dyDescent="0.3">
      <c r="A15" s="31" t="str">
        <f t="shared" si="0"/>
        <v>Agressivo-PAPEL</v>
      </c>
      <c r="B15" s="32" t="s">
        <v>37</v>
      </c>
      <c r="C15" s="32" t="s">
        <v>25</v>
      </c>
      <c r="D15" s="33">
        <v>0.5</v>
      </c>
    </row>
    <row r="16" spans="1:8" x14ac:dyDescent="0.3">
      <c r="A16" s="34" t="str">
        <f t="shared" si="0"/>
        <v>Agressivo-TIJOLO</v>
      </c>
      <c r="B16" s="21" t="s">
        <v>37</v>
      </c>
      <c r="C16" s="21" t="s">
        <v>26</v>
      </c>
      <c r="D16" s="35">
        <v>0.1</v>
      </c>
    </row>
    <row r="17" spans="1:8" x14ac:dyDescent="0.3">
      <c r="A17" s="31" t="str">
        <f t="shared" si="0"/>
        <v>Agressivo-HÍBRIDOS</v>
      </c>
      <c r="B17" s="32" t="s">
        <v>37</v>
      </c>
      <c r="C17" s="32" t="s">
        <v>27</v>
      </c>
      <c r="D17" s="33">
        <v>0.05</v>
      </c>
    </row>
    <row r="18" spans="1:8" x14ac:dyDescent="0.3">
      <c r="A18" s="34" t="str">
        <f t="shared" si="0"/>
        <v>Agressivo-FOFs</v>
      </c>
      <c r="B18" s="21" t="s">
        <v>37</v>
      </c>
      <c r="C18" s="21" t="s">
        <v>28</v>
      </c>
      <c r="D18" s="35">
        <v>0.05</v>
      </c>
    </row>
    <row r="19" spans="1:8" x14ac:dyDescent="0.3">
      <c r="A19" s="31" t="str">
        <f t="shared" si="0"/>
        <v>Agressivo-DESENVOLVIMENTO</v>
      </c>
      <c r="B19" s="32" t="s">
        <v>37</v>
      </c>
      <c r="C19" s="32" t="s">
        <v>29</v>
      </c>
      <c r="D19" s="33">
        <v>0.2</v>
      </c>
    </row>
    <row r="20" spans="1:8" x14ac:dyDescent="0.3">
      <c r="A20" s="34" t="str">
        <f t="shared" si="0"/>
        <v>Agressivo-HOTELARIAS</v>
      </c>
      <c r="B20" s="21" t="s">
        <v>37</v>
      </c>
      <c r="C20" s="21" t="s">
        <v>30</v>
      </c>
      <c r="D20" s="35">
        <v>0.1</v>
      </c>
    </row>
    <row r="21" spans="1:8" x14ac:dyDescent="0.3">
      <c r="D21" s="2"/>
    </row>
    <row r="22" spans="1:8" x14ac:dyDescent="0.3">
      <c r="F22" s="38" t="s">
        <v>38</v>
      </c>
    </row>
    <row r="23" spans="1:8" x14ac:dyDescent="0.3">
      <c r="F23" s="59" t="s">
        <v>39</v>
      </c>
      <c r="G23" s="60"/>
      <c r="H23" s="60"/>
    </row>
    <row r="24" spans="1:8" x14ac:dyDescent="0.3">
      <c r="F24" s="60"/>
      <c r="G24" s="60"/>
      <c r="H24" s="60"/>
    </row>
    <row r="25" spans="1:8" x14ac:dyDescent="0.3">
      <c r="F25" s="60"/>
      <c r="G25" s="60"/>
      <c r="H25" s="60"/>
    </row>
  </sheetData>
  <mergeCells count="1">
    <mergeCell ref="F23:H2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APP</vt:lpstr>
      <vt:lpstr>Planilha2</vt:lpstr>
      <vt:lpstr>aporte</vt:lpstr>
      <vt:lpstr>APP!Area_de_impressao</vt:lpstr>
      <vt:lpstr>Planilha2!Area_de_impressao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Lavínia Dantas</cp:lastModifiedBy>
  <dcterms:created xsi:type="dcterms:W3CDTF">2025-04-16T18:38:03Z</dcterms:created>
  <dcterms:modified xsi:type="dcterms:W3CDTF">2026-10-17T21:16:39Z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